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ètres" sheetId="1" state="visible" r:id="rId1"/>
    <sheet name="Saisie Salarié" sheetId="2" state="visible" r:id="rId2"/>
    <sheet name="Calcul Automatique" sheetId="3" state="visible" r:id="rId3"/>
    <sheet name="Compara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GNF&quot;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006400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3" borderId="1" pivotButton="0" quotePrefix="0" xfId="0"/>
    <xf numFmtId="10" fontId="0" fillId="3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0" fillId="3" borderId="1" pivotButton="0" quotePrefix="0" xfId="0"/>
    <xf numFmtId="164" fontId="2" fillId="0" borderId="1" pivotButton="0" quotePrefix="0" xfId="0"/>
    <xf numFmtId="0" fontId="3" fillId="0" borderId="0" pivotButton="0" quotePrefix="0" xfId="0"/>
    <xf numFmtId="164" fontId="3" fillId="4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PARAMÈTRES LÉGAUX - GUINÉE (CGI 2022)</t>
        </is>
      </c>
    </row>
    <row r="3">
      <c r="A3" s="2" t="inlineStr">
        <is>
          <t>COTISATIONS CNSS</t>
        </is>
      </c>
    </row>
    <row r="4">
      <c r="A4" t="inlineStr">
        <is>
          <t>Plancher CNSS:</t>
        </is>
      </c>
      <c r="B4" s="3" t="n">
        <v>550000</v>
      </c>
    </row>
    <row r="5">
      <c r="A5" t="inlineStr">
        <is>
          <t>Plafond CNSS:</t>
        </is>
      </c>
      <c r="B5" s="3" t="n">
        <v>2500000</v>
      </c>
    </row>
    <row r="6">
      <c r="A6" t="inlineStr">
        <is>
          <t>Taux salarié:</t>
        </is>
      </c>
      <c r="B6" s="4" t="n">
        <v>0.05</v>
      </c>
    </row>
    <row r="7">
      <c r="A7" t="inlineStr">
        <is>
          <t>Taux employeur:</t>
        </is>
      </c>
      <c r="B7" s="4" t="n">
        <v>0.18</v>
      </c>
    </row>
    <row r="9">
      <c r="A9" s="2" t="inlineStr">
        <is>
          <t>CHARGES PATRONALES</t>
        </is>
      </c>
    </row>
    <row r="10">
      <c r="A10" t="inlineStr">
        <is>
          <t>Versement Forfaitaire (VF):</t>
        </is>
      </c>
      <c r="B10" s="4" t="n">
        <v>0.06</v>
      </c>
    </row>
    <row r="11">
      <c r="A11" t="inlineStr">
        <is>
          <t>Taxe Apprentissage (TA):</t>
        </is>
      </c>
      <c r="B11" s="4" t="n">
        <v>0.015</v>
      </c>
    </row>
    <row r="13">
      <c r="A13" s="2" t="inlineStr">
        <is>
          <t>BARÈME RTS (IRG) - CGI 2022</t>
        </is>
      </c>
    </row>
    <row r="14">
      <c r="A14" s="5" t="inlineStr">
        <is>
          <t>Tranche</t>
        </is>
      </c>
      <c r="B14" s="5" t="inlineStr">
        <is>
          <t>De</t>
        </is>
      </c>
      <c r="C14" s="5" t="inlineStr">
        <is>
          <t>À</t>
        </is>
      </c>
      <c r="D14" s="5" t="inlineStr">
        <is>
          <t>Taux</t>
        </is>
      </c>
    </row>
    <row r="15">
      <c r="A15" s="6" t="inlineStr">
        <is>
          <t>Tranche 1</t>
        </is>
      </c>
      <c r="B15" s="7" t="n">
        <v>0</v>
      </c>
      <c r="C15" s="7" t="n">
        <v>1000000</v>
      </c>
      <c r="D15" s="8" t="n">
        <v>0</v>
      </c>
    </row>
    <row r="16">
      <c r="A16" s="6" t="inlineStr">
        <is>
          <t>Tranche 2</t>
        </is>
      </c>
      <c r="B16" s="7" t="n">
        <v>1000001</v>
      </c>
      <c r="C16" s="7" t="n">
        <v>3000000</v>
      </c>
      <c r="D16" s="8" t="n">
        <v>0.05</v>
      </c>
    </row>
    <row r="17">
      <c r="A17" s="6" t="inlineStr">
        <is>
          <t>Tranche 3</t>
        </is>
      </c>
      <c r="B17" s="7" t="n">
        <v>3000001</v>
      </c>
      <c r="C17" s="7" t="n">
        <v>5000000</v>
      </c>
      <c r="D17" s="8" t="n">
        <v>0.08</v>
      </c>
    </row>
    <row r="18">
      <c r="A18" s="6" t="inlineStr">
        <is>
          <t>Tranche 4</t>
        </is>
      </c>
      <c r="B18" s="7" t="n">
        <v>5000001</v>
      </c>
      <c r="C18" s="7" t="n">
        <v>10000000</v>
      </c>
      <c r="D18" s="8" t="n">
        <v>0.1</v>
      </c>
    </row>
    <row r="19">
      <c r="A19" s="6" t="inlineStr">
        <is>
          <t>Tranche 5</t>
        </is>
      </c>
      <c r="B19" s="7" t="n">
        <v>10000001</v>
      </c>
      <c r="C19" s="7" t="n">
        <v>20000000</v>
      </c>
      <c r="D19" s="8" t="n">
        <v>0.15</v>
      </c>
    </row>
    <row r="20">
      <c r="A20" s="6" t="inlineStr">
        <is>
          <t>Tranche 6</t>
        </is>
      </c>
      <c r="B20" s="7" t="n">
        <v>20000001</v>
      </c>
      <c r="C20" s="6" t="inlineStr">
        <is>
          <t>Illimité</t>
        </is>
      </c>
      <c r="D20" s="8" t="n">
        <v>0.2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SAISIE DES DONNÉES SALARIÉ</t>
        </is>
      </c>
    </row>
    <row r="3">
      <c r="A3" s="2" t="inlineStr">
        <is>
          <t>IDENTIFICATION</t>
        </is>
      </c>
    </row>
    <row r="4">
      <c r="A4" t="inlineStr">
        <is>
          <t>Nom:</t>
        </is>
      </c>
      <c r="B4" s="9" t="inlineStr">
        <is>
          <t>DIALLO</t>
        </is>
      </c>
    </row>
    <row r="5">
      <c r="A5" t="inlineStr">
        <is>
          <t>Prénom:</t>
        </is>
      </c>
      <c r="B5" s="9" t="inlineStr">
        <is>
          <t>Mamadou</t>
        </is>
      </c>
    </row>
    <row r="6">
      <c r="A6" t="inlineStr">
        <is>
          <t>Matricule:</t>
        </is>
      </c>
      <c r="B6" s="9" t="inlineStr">
        <is>
          <t>EMP001</t>
        </is>
      </c>
    </row>
    <row r="7">
      <c r="A7" t="inlineStr">
        <is>
          <t>Poste:</t>
        </is>
      </c>
      <c r="B7" s="9" t="inlineStr">
        <is>
          <t>Comptable Principal</t>
        </is>
      </c>
    </row>
    <row r="8">
      <c r="A8" t="inlineStr">
        <is>
          <t>Mois/Année:</t>
        </is>
      </c>
      <c r="B8" s="9" t="inlineStr">
        <is>
          <t>Janvier 2026</t>
        </is>
      </c>
    </row>
    <row r="10">
      <c r="A10" s="2" t="inlineStr">
        <is>
          <t>RÉMUNÉRATION</t>
        </is>
      </c>
    </row>
    <row r="11">
      <c r="A11" t="inlineStr">
        <is>
          <t>Salaire de base:</t>
        </is>
      </c>
      <c r="B11" s="3" t="n">
        <v>2800000</v>
      </c>
    </row>
    <row r="12">
      <c r="A12" t="inlineStr">
        <is>
          <t>Prime de transport:</t>
        </is>
      </c>
      <c r="B12" s="3" t="n">
        <v>800000</v>
      </c>
    </row>
    <row r="13">
      <c r="A13" t="inlineStr">
        <is>
          <t>Prime de logement:</t>
        </is>
      </c>
      <c r="B13" s="3" t="n">
        <v>0</v>
      </c>
    </row>
    <row r="14">
      <c r="A14" t="inlineStr">
        <is>
          <t>Autres primes:</t>
        </is>
      </c>
      <c r="B14" s="3" t="n">
        <v>0</v>
      </c>
    </row>
    <row r="16">
      <c r="A16" s="2" t="inlineStr">
        <is>
          <t>RETENUES OPTIONNELLES</t>
        </is>
      </c>
    </row>
    <row r="17">
      <c r="A17" t="inlineStr">
        <is>
          <t>Avance sur salaire:</t>
        </is>
      </c>
      <c r="B17" s="3" t="n">
        <v>160000</v>
      </c>
    </row>
    <row r="18">
      <c r="A18" t="inlineStr">
        <is>
          <t>Prêt (mensualité):</t>
        </is>
      </c>
      <c r="B18" s="3" t="n">
        <v>0</v>
      </c>
    </row>
    <row r="19">
      <c r="A19" t="inlineStr">
        <is>
          <t>Autres retenues:</t>
        </is>
      </c>
      <c r="B19" s="3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</cols>
  <sheetData>
    <row r="1">
      <c r="A1" s="1" t="inlineStr">
        <is>
          <t>CALCUL AUTOMATIQUE DE PAIE</t>
        </is>
      </c>
    </row>
    <row r="3">
      <c r="A3" s="2" t="inlineStr">
        <is>
          <t>SALAIRE BRUT</t>
        </is>
      </c>
    </row>
    <row r="4">
      <c r="A4" t="inlineStr">
        <is>
          <t>Salaire de base</t>
        </is>
      </c>
      <c r="B4" s="7">
        <f>'Saisie Salarié'!B11</f>
        <v/>
      </c>
    </row>
    <row r="5">
      <c r="A5" t="inlineStr">
        <is>
          <t>Prime transport</t>
        </is>
      </c>
      <c r="B5" s="7">
        <f>'Saisie Salarié'!B12</f>
        <v/>
      </c>
    </row>
    <row r="6">
      <c r="A6" t="inlineStr">
        <is>
          <t>Prime logement</t>
        </is>
      </c>
      <c r="B6" s="7">
        <f>'Saisie Salarié'!B13</f>
        <v/>
      </c>
    </row>
    <row r="7">
      <c r="A7" t="inlineStr">
        <is>
          <t>Autres primes</t>
        </is>
      </c>
      <c r="B7" s="7">
        <f>'Saisie Salarié'!B14</f>
        <v/>
      </c>
    </row>
    <row r="8">
      <c r="A8" s="2" t="inlineStr">
        <is>
          <t>TOTAL BRUT</t>
        </is>
      </c>
      <c r="B8" s="10">
        <f>SUM(B4:B7)</f>
        <v/>
      </c>
    </row>
    <row r="10">
      <c r="A10" s="2" t="inlineStr">
        <is>
          <t>COTISATION CNSS</t>
        </is>
      </c>
    </row>
    <row r="11">
      <c r="A11" t="inlineStr">
        <is>
          <t>Assiette CNSS</t>
        </is>
      </c>
      <c r="B11" s="7">
        <f>MAX(MIN(B8,Paramètres!B5),Paramètres!B4)</f>
        <v/>
      </c>
      <c r="C11" t="inlineStr">
        <is>
          <t>(plafonnée)</t>
        </is>
      </c>
    </row>
    <row r="12">
      <c r="A12" t="inlineStr">
        <is>
          <t>CNSS Salarié (5%)</t>
        </is>
      </c>
      <c r="B12" s="7">
        <f>ROUND(B11*Paramètres!B6,0)</f>
        <v/>
      </c>
    </row>
    <row r="13">
      <c r="A13" t="inlineStr">
        <is>
          <t>CNSS Employeur (18%)</t>
        </is>
      </c>
      <c r="B13" s="7">
        <f>ROUND(B11*Paramètres!B7,0)</f>
        <v/>
      </c>
    </row>
    <row r="15">
      <c r="A15" s="2" t="inlineStr">
        <is>
          <t>IMPÔT SUR LE REVENU (IRG/RTS)</t>
        </is>
      </c>
    </row>
    <row r="16">
      <c r="A16" t="inlineStr">
        <is>
          <t>Base imposable</t>
        </is>
      </c>
      <c r="B16" s="7">
        <f>B8-B12</f>
        <v/>
      </c>
      <c r="C16" t="inlineStr">
        <is>
          <t>(Brut - CNSS)</t>
        </is>
      </c>
    </row>
    <row r="17">
      <c r="A17" t="inlineStr">
        <is>
          <t>Tranche 1 (0%)</t>
        </is>
      </c>
      <c r="B17" s="7">
        <f>IF(B16&gt;1000000,0,0)</f>
        <v/>
      </c>
    </row>
    <row r="18">
      <c r="A18" t="inlineStr">
        <is>
          <t>Tranche 2 (5%)</t>
        </is>
      </c>
      <c r="B18" s="7">
        <f>IF(B16&gt;1000000,ROUND(MIN(B16,3000000)-1000000,0)*0.05,0)</f>
        <v/>
      </c>
    </row>
    <row r="19">
      <c r="A19" t="inlineStr">
        <is>
          <t>Tranche 3 (8%)</t>
        </is>
      </c>
      <c r="B19" s="7">
        <f>IF(B16&gt;3000000,ROUND(MIN(B16,5000000)-3000000,0)*0.08,0)</f>
        <v/>
      </c>
    </row>
    <row r="20">
      <c r="A20" t="inlineStr">
        <is>
          <t>Tranche 4 (10%)</t>
        </is>
      </c>
      <c r="B20" s="7">
        <f>IF(B16&gt;5000000,ROUND(MIN(B16,10000000)-5000000,0)*0.1,0)</f>
        <v/>
      </c>
    </row>
    <row r="21">
      <c r="A21" t="inlineStr">
        <is>
          <t>Tranche 5 (15%)</t>
        </is>
      </c>
      <c r="B21" s="7">
        <f>IF(B16&gt;10000000,ROUND(MIN(B16,20000000)-10000000,0)*0.15,0)</f>
        <v/>
      </c>
    </row>
    <row r="22">
      <c r="A22" t="inlineStr">
        <is>
          <t>Tranche 6 (20%)</t>
        </is>
      </c>
      <c r="B22" s="7">
        <f>IF(B16&gt;20000000,ROUND(B16-20000000,0)*0.2,0)</f>
        <v/>
      </c>
    </row>
    <row r="23">
      <c r="A23" s="2" t="inlineStr">
        <is>
          <t>TOTAL IRG</t>
        </is>
      </c>
      <c r="B23" s="10">
        <f>SUM(B17:B22)</f>
        <v/>
      </c>
    </row>
    <row r="25">
      <c r="A25" s="2" t="inlineStr">
        <is>
          <t>TOTAL RETENUES</t>
        </is>
      </c>
    </row>
    <row r="26">
      <c r="A26" t="inlineStr">
        <is>
          <t>CNSS Salarié</t>
        </is>
      </c>
      <c r="B26" s="7">
        <f>B12</f>
        <v/>
      </c>
    </row>
    <row r="27">
      <c r="A27" t="inlineStr">
        <is>
          <t>IRG</t>
        </is>
      </c>
      <c r="B27" s="7">
        <f>B23</f>
        <v/>
      </c>
    </row>
    <row r="28">
      <c r="A28" t="inlineStr">
        <is>
          <t>Avance sur salaire</t>
        </is>
      </c>
      <c r="B28" s="7">
        <f>'Saisie Salarié'!B17</f>
        <v/>
      </c>
    </row>
    <row r="29">
      <c r="A29" t="inlineStr">
        <is>
          <t>Prêt</t>
        </is>
      </c>
      <c r="B29" s="7">
        <f>'Saisie Salarié'!B18</f>
        <v/>
      </c>
    </row>
    <row r="30">
      <c r="A30" t="inlineStr">
        <is>
          <t>Autres retenues</t>
        </is>
      </c>
      <c r="B30" s="7">
        <f>'Saisie Salarié'!B19</f>
        <v/>
      </c>
    </row>
    <row r="31">
      <c r="A31" s="2" t="inlineStr">
        <is>
          <t>TOTAL RETENUES</t>
        </is>
      </c>
      <c r="B31" s="10">
        <f>SUM(B26:B30)</f>
        <v/>
      </c>
    </row>
    <row r="33">
      <c r="A33" s="11" t="inlineStr">
        <is>
          <t>NET À PAYER</t>
        </is>
      </c>
      <c r="B33" s="12">
        <f>B8-B31</f>
        <v/>
      </c>
    </row>
    <row r="35">
      <c r="A35" s="2" t="inlineStr">
        <is>
          <t>CHARGES PATRONALES</t>
        </is>
      </c>
    </row>
    <row r="36">
      <c r="A36" t="inlineStr">
        <is>
          <t>CNSS Employeur (18%)</t>
        </is>
      </c>
      <c r="B36" s="7">
        <f>B13</f>
        <v/>
      </c>
    </row>
    <row r="37">
      <c r="A37" t="inlineStr">
        <is>
          <t>VF (6%)</t>
        </is>
      </c>
      <c r="B37" s="7">
        <f>ROUND(B8*Paramètres!B10,0)</f>
        <v/>
      </c>
    </row>
    <row r="38">
      <c r="A38" t="inlineStr">
        <is>
          <t>TA (1,5%)</t>
        </is>
      </c>
      <c r="B38" s="7">
        <f>ROUND(B8*Paramètres!B11,0)</f>
        <v/>
      </c>
    </row>
    <row r="39">
      <c r="A39" s="2" t="inlineStr">
        <is>
          <t>TOTAL CHARGES PATRONALES</t>
        </is>
      </c>
      <c r="B39" s="10">
        <f>SUM(B36:B38)</f>
        <v/>
      </c>
    </row>
    <row r="41">
      <c r="A41" s="13" t="inlineStr">
        <is>
          <t>COÛT TOTAL EMPLOYEUR</t>
        </is>
      </c>
      <c r="B41" s="14">
        <f>B8+B39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COMPARAISON EXCEL vs APPLICATION</t>
        </is>
      </c>
    </row>
    <row r="3">
      <c r="A3" s="15" t="inlineStr">
        <is>
          <t>Élément</t>
        </is>
      </c>
      <c r="B3" s="15" t="inlineStr">
        <is>
          <t>Excel</t>
        </is>
      </c>
      <c r="C3" s="15" t="inlineStr">
        <is>
          <t>Application</t>
        </is>
      </c>
      <c r="D3" s="15" t="inlineStr">
        <is>
          <t>Écart</t>
        </is>
      </c>
      <c r="E3" s="15" t="inlineStr">
        <is>
          <t>Statut</t>
        </is>
      </c>
    </row>
    <row r="4">
      <c r="A4" s="6" t="inlineStr">
        <is>
          <t>Salaire brut</t>
        </is>
      </c>
      <c r="B4" s="7">
        <f>'Calcul Automatique'!B8</f>
        <v/>
      </c>
      <c r="C4" s="3" t="n">
        <v>0</v>
      </c>
      <c r="D4" s="7">
        <f>B4-C4</f>
        <v/>
      </c>
      <c r="E4" s="6">
        <f>IF(ABS(D4)&lt;10,"✅ OK","❌ ÉCART")</f>
        <v/>
      </c>
    </row>
    <row r="5">
      <c r="A5" s="6" t="inlineStr">
        <is>
          <t>CNSS Salarié</t>
        </is>
      </c>
      <c r="B5" s="7">
        <f>'Calcul Automatique'!B12</f>
        <v/>
      </c>
      <c r="C5" s="3" t="n">
        <v>0</v>
      </c>
      <c r="D5" s="7">
        <f>B5-C5</f>
        <v/>
      </c>
      <c r="E5" s="6">
        <f>IF(ABS(D5)&lt;10,"✅ OK","❌ ÉCART")</f>
        <v/>
      </c>
    </row>
    <row r="6">
      <c r="A6" s="6" t="inlineStr">
        <is>
          <t>IRG</t>
        </is>
      </c>
      <c r="B6" s="7">
        <f>'Calcul Automatique'!B23</f>
        <v/>
      </c>
      <c r="C6" s="3" t="n">
        <v>0</v>
      </c>
      <c r="D6" s="7">
        <f>B6-C6</f>
        <v/>
      </c>
      <c r="E6" s="6">
        <f>IF(ABS(D6)&lt;10,"✅ OK","❌ ÉCART")</f>
        <v/>
      </c>
    </row>
    <row r="7">
      <c r="A7" s="6" t="inlineStr">
        <is>
          <t>Avance</t>
        </is>
      </c>
      <c r="B7" s="7">
        <f>'Calcul Automatique'!B28</f>
        <v/>
      </c>
      <c r="C7" s="3" t="n">
        <v>0</v>
      </c>
      <c r="D7" s="7">
        <f>B7-C7</f>
        <v/>
      </c>
      <c r="E7" s="6">
        <f>IF(ABS(D7)&lt;10,"✅ OK","❌ ÉCART")</f>
        <v/>
      </c>
    </row>
    <row r="8">
      <c r="A8" s="6" t="inlineStr">
        <is>
          <t>Total retenues</t>
        </is>
      </c>
      <c r="B8" s="7">
        <f>'Calcul Automatique'!B31</f>
        <v/>
      </c>
      <c r="C8" s="3" t="n">
        <v>0</v>
      </c>
      <c r="D8" s="7">
        <f>B8-C8</f>
        <v/>
      </c>
      <c r="E8" s="6">
        <f>IF(ABS(D8)&lt;10,"✅ OK","❌ ÉCART")</f>
        <v/>
      </c>
    </row>
    <row r="9">
      <c r="A9" s="6" t="inlineStr">
        <is>
          <t>Net à payer</t>
        </is>
      </c>
      <c r="B9" s="7">
        <f>'Calcul Automatique'!B33</f>
        <v/>
      </c>
      <c r="C9" s="3" t="n">
        <v>0</v>
      </c>
      <c r="D9" s="7">
        <f>B9-C9</f>
        <v/>
      </c>
      <c r="E9" s="6">
        <f>IF(ABS(D9)&lt;10,"✅ OK","❌ ÉCART")</f>
        <v/>
      </c>
    </row>
    <row r="10">
      <c r="A10" s="6" t="inlineStr">
        <is>
          <t>CNSS Employeur</t>
        </is>
      </c>
      <c r="B10" s="7">
        <f>'Calcul Automatique'!B36</f>
        <v/>
      </c>
      <c r="C10" s="3" t="n">
        <v>0</v>
      </c>
      <c r="D10" s="7">
        <f>B10-C10</f>
        <v/>
      </c>
      <c r="E10" s="6">
        <f>IF(ABS(D10)&lt;10,"✅ OK","❌ ÉCART")</f>
        <v/>
      </c>
    </row>
    <row r="11">
      <c r="A11" s="6" t="inlineStr">
        <is>
          <t>VF</t>
        </is>
      </c>
      <c r="B11" s="7">
        <f>'Calcul Automatique'!B37</f>
        <v/>
      </c>
      <c r="C11" s="3" t="n">
        <v>0</v>
      </c>
      <c r="D11" s="7">
        <f>B11-C11</f>
        <v/>
      </c>
      <c r="E11" s="6">
        <f>IF(ABS(D11)&lt;10,"✅ OK","❌ ÉCART")</f>
        <v/>
      </c>
    </row>
    <row r="12">
      <c r="A12" s="6" t="inlineStr">
        <is>
          <t>TA</t>
        </is>
      </c>
      <c r="B12" s="7">
        <f>'Calcul Automatique'!B38</f>
        <v/>
      </c>
      <c r="C12" s="3" t="n">
        <v>0</v>
      </c>
      <c r="D12" s="7">
        <f>B12-C12</f>
        <v/>
      </c>
      <c r="E12" s="6">
        <f>IF(ABS(D12)&lt;10,"✅ OK","❌ ÉCART")</f>
        <v/>
      </c>
    </row>
    <row r="13">
      <c r="A13" s="6" t="inlineStr">
        <is>
          <t>Total charges patronales</t>
        </is>
      </c>
      <c r="B13" s="7">
        <f>'Calcul Automatique'!B39</f>
        <v/>
      </c>
      <c r="C13" s="3" t="n">
        <v>0</v>
      </c>
      <c r="D13" s="7">
        <f>B13-C13</f>
        <v/>
      </c>
      <c r="E13" s="6">
        <f>IF(ABS(D13)&lt;10,"✅ OK","❌ ÉCART")</f>
        <v/>
      </c>
    </row>
    <row r="16">
      <c r="A16" s="2" t="inlineStr">
        <is>
          <t>RÉSULTAT GLOBAL</t>
        </is>
      </c>
      <c r="B16" s="13">
        <f>IF(COUNTIF(E4:E13,"❌ ÉCART")=0,"✅ TOUS LES CALCULS SONT CORRECTS","❌ DES ÉCARTS ONT ÉTÉ DÉTECTÉS")</f>
        <v/>
      </c>
    </row>
    <row r="18">
      <c r="A18" s="2" t="inlineStr">
        <is>
          <t>INSTRUCTIONS:</t>
        </is>
      </c>
    </row>
    <row r="19">
      <c r="A19" t="inlineStr">
        <is>
          <t>1. Saisir les données du salarié dans l'onglet 'Saisie Salarié'</t>
        </is>
      </c>
    </row>
    <row r="20">
      <c r="A20" t="inlineStr">
        <is>
          <t>2. Reporter les valeurs de l'application dans la colonne 'Application' (C)</t>
        </is>
      </c>
    </row>
    <row r="21">
      <c r="A21" t="inlineStr">
        <is>
          <t>3. Vérifier que tous les statuts affichent '✅ OK'</t>
        </is>
      </c>
    </row>
    <row r="22">
      <c r="A22" t="inlineStr">
        <is>
          <t>4. En cas d'écart &gt; 10 GNF, investiguer la différence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2026-01-11T08:38:15Z</dcterms:created>
  <dcterms:modified xsi:type="dcterms:W3CDTF">2026-01-11T08:38:15Z</dcterms:modified>
</cp:coreProperties>
</file>